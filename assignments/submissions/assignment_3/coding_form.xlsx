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mc:AlternateContent xmlns:mc="http://schemas.openxmlformats.org/markup-compatibility/2006">
    <mc:Choice Requires="x15">
      <x15ac:absPath xmlns:x15ac="http://schemas.microsoft.com/office/spreadsheetml/2010/11/ac" url="/Users/wenma/Downloads/assignment_3/"/>
    </mc:Choice>
  </mc:AlternateContent>
  <xr:revisionPtr revIDLastSave="0" documentId="13_ncr:1_{8850EB04-7E42-EA40-9CA1-CC16E93645F4}" xr6:coauthVersionLast="47" xr6:coauthVersionMax="47" xr10:uidLastSave="{00000000-0000-0000-0000-000000000000}"/>
  <bookViews>
    <workbookView xWindow="0" yWindow="500" windowWidth="25600" windowHeight="14520" xr2:uid="{00000000-000D-0000-FFFF-FFFF00000000}"/>
  </bookViews>
  <sheets>
    <sheet name="Coder 1 main" sheetId="1" r:id="rId1"/>
    <sheet name="Coder 2 main" sheetId="2" r:id="rId2"/>
    <sheet name="Sample" sheetId="3" r:id="rId3"/>
    <sheet name="Practice ratings" sheetId="4" r:id="rId4"/>
  </sheets>
  <definedNames>
    <definedName name="_xlnm._FilterDatabase" localSheetId="0" hidden="1">'Coder 1 main'!$A$5:$F$15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3" l="1"/>
</calcChain>
</file>

<file path=xl/sharedStrings.xml><?xml version="1.0" encoding="utf-8"?>
<sst xmlns="http://schemas.openxmlformats.org/spreadsheetml/2006/main" count="137" uniqueCount="109">
  <si>
    <t>Main sample coding — Coder 1</t>
  </si>
  <si>
    <t>Assisted draft after transcript review and access to Coder 2. These ratings are not an independent reliability sample.</t>
  </si>
  <si>
    <t>Text ID</t>
  </si>
  <si>
    <t>Strain</t>
  </si>
  <si>
    <t>Task fulfillment</t>
  </si>
  <si>
    <t>Strain evidence</t>
  </si>
  <si>
    <t>Task evidence</t>
  </si>
  <si>
    <t>Notes</t>
  </si>
  <si>
    <t>R002</t>
  </si>
  <si>
    <t>35–61: the representative verifies details and answers medication questions without repeated live-service repair. Earlier menu problems are excluded.</t>
  </si>
  <si>
    <t>Active coverage requested at 10 is never explicitly confirmed. MedA is covered at 53 and requires authorization at 55. MedB is covered with authorization at 61.</t>
  </si>
  <si>
    <t>Active coverage remains unresolved. Review whether the examples in the restrictions question at 54 require separate answers for step therapy and quantity limits.</t>
  </si>
  <si>
    <t>R003</t>
  </si>
  <si>
    <t>23–34: repeated first/last-name clarification is resolved before the coverage answer. Further name repair at 65–78 ends in confirmed spelling and continued account searching.</t>
  </si>
  <si>
    <t>Active coverage is explicitly confirmed at 35. NewMed coverage/formulary questions at 40–42 and restrictions at 44 receive no determinate answer after transfer.</t>
  </si>
  <si>
    <t>Later lookup failure at 79–81 raises uncertainty about the earlier confirmation. Keep this as a boundary case for discussion.</t>
  </si>
  <si>
    <t>R005</t>
  </si>
  <si>
    <t>43–66: routine verification and benefits discussion remain coordinated. Brief overlap at 51–54 resolves immediately. Menu problems before 43 are excluded.</t>
  </si>
  <si>
    <t>Active coverage requested at 52–54 is answered as terminated at 55. Expiration date requested at 56 is answered at 57.</t>
  </si>
  <si>
    <t>The negative coverage answer fulfills the request. Name and reference-number requests at 60–63 are administrative.</t>
  </si>
  <si>
    <t>R007</t>
  </si>
  <si>
    <t>19–23: one member-ID correction is followed by an alternative search. The hearing check at 31–32 resolves immediately. At 33–37 the representative clearly explains the authorization requirement.</t>
  </si>
  <si>
    <t>Active coverage is requested at 6, 10 and 30–32. The representative cannot provide benefits information without authorization at 33–37. No coverage answer is given before closing.</t>
  </si>
  <si>
    <t>Strain differs from Coder 2: the observed repairs are isolated and readily resolved, supporting 0. Review the 0/1 boundary; an authorization barrier alone does not establish strain.</t>
  </si>
  <si>
    <t>R010</t>
  </si>
  <si>
    <t>23–53: caller-name and number repairs occur. At 87–101, repeated ZIP-code attempts and reports of no response remain unresolved. The representative requests a callback and explicitly closes at 101–105.</t>
  </si>
  <si>
    <t>Repeated active-coverage requests at 22, 24, 38, 60, 70 and 92 receive no determinate answer. The call ends with a callback instruction at 101.</t>
  </si>
  <si>
    <t>System access trouble at 71 is a service barrier. The separate unresolved communication episode at 87–101 supports high strain.</t>
  </si>
  <si>
    <t>R012</t>
  </si>
  <si>
    <t>33–44: caller/doctor-name clarification is resolved. At 65–75, requests for alternate identification repeatedly receive name corrections or the same ID, leaving coordination unresolved at goodbye.</t>
  </si>
  <si>
    <t>Active coverage is requested at 30. No coverage-status answer is given before the explicit closing at 72–76.</t>
  </si>
  <si>
    <t>Account lookup failure does not establish inactive coverage. The strain score rests on repeated mismatched replies, rather than the lookup failure itself.</t>
  </si>
  <si>
    <t>R013</t>
  </si>
  <si>
    <t>23–59: verification and medication checks proceed smoothly. The brief audio issue at 33 is resolved by correct read-back and confirmation at 34.</t>
  </si>
  <si>
    <t>Active coverage is confirmed at 45. Admelog coverage request at 46 receives a prior-authorization condition at 51. Trulicity coverage request at 56 receives the same condition at 59.</t>
  </si>
  <si>
    <t>Following the conditional-answer rule, the authorization requirements count as direct answers to the drug checks. The unfinished reference-number exchange at 60–70 is administrative.</t>
  </si>
  <si>
    <t>R015</t>
  </si>
  <si>
    <t>51–60: repeated caller-name corrections and caller-origin clarification are followed by a coordinated callback-number exchange and benefits discussion. Earlier menu difficulties are excluded.</t>
  </si>
  <si>
    <t>Active coverage requested at 46 and 64 is confirmed at 65. Abilify coverage at 66 is answered not covered at 71. MeditoB coverage at 72 is answered not covered at 77.</t>
  </si>
  <si>
    <t>All three substantive requests receive answers. Menu wording about pricing does not establish a separate caller price request.</t>
  </si>
  <si>
    <t>R016</t>
  </si>
  <si>
    <t>70–76: the representative asks what the drug check means and then requests spelling because the name is unclear. After clarification, dosage and benefits questions proceed at 77–87.</t>
  </si>
  <si>
    <t>Active coverage is confirmed at 69. Mediab formulary check at 72 receives a coverage answer at 79 and authorization condition at 81. Mediyz is covered with authorization at 87.</t>
  </si>
  <si>
    <t>Following Coder 2’s general-restrictions interpretation, 81 answers the restrictions question at 80. Review the bundled-question rule. The offered authorization phone number is declined at 82.</t>
  </si>
  <si>
    <t>R019</t>
  </si>
  <si>
    <t>29–40: repeated greeting/contact difficulty is resolved. At 53–63, clarification is followed by acknowledgment and a new verification question. Member-ID read-back at 69–78 is confirmed.</t>
  </si>
  <si>
    <t>Active coverage is specifically requested at 6–10. Later statements at 73 and 79 only report that the account cannot be found. The coverage question remains unanswered when the call ends.</t>
  </si>
  <si>
    <t>Repeated repair eventually permits continued verification. Failure to locate the account provides no determinate coverage-status answer.</t>
  </si>
  <si>
    <t>Completed assisted draft for all ten transcripts. Keep original independent ratings separately if reliability is required.</t>
  </si>
  <si>
    <t>Main sample coding — Coder 2</t>
  </si>
  <si>
    <t>35–61: live exchange proceeds with routine verification.</t>
  </si>
  <si>
    <t>Active coverage requested at 10 has no explicit answer. MedA coverage 53 and restrictions 55; MedB coverage 61.</t>
  </si>
  <si>
    <t>The active-status request before transfer remains part of the task list.</t>
  </si>
  <si>
    <t>Name repair 23–34 and 65–78 restores shared identification; failed database lookup alone does not establish high strain.</t>
  </si>
  <si>
    <t>Active coverage answered at 35. NewMed coverage/formulary 40–42 and restrictions 44 remain unresolved after transfer.</t>
  </si>
  <si>
    <t>The later lookup failure at 79 qualifies confidence in the earlier answer; retain as a discussion case.</t>
  </si>
  <si>
    <t>43–66: coordinated live exchange; a brief overlap at 51–54 is resolved. Earlier menu difficulties excluded.</t>
  </si>
  <si>
    <t>Coverage status answered at 55; expiry date answered at 57.</t>
  </si>
  <si>
    <t>Reference-number provision is outside the task denominator.</t>
  </si>
  <si>
    <t>ID clarification 19–23 and contact repair 29–33 resolve enough to discuss the authorization barrier.</t>
  </si>
  <si>
    <t>Active coverage requested at 6, 10 and 30–32. Authorization barrier at 33–37 prevents a coverage answer.</t>
  </si>
  <si>
    <t>Lack of authorization does not establish inactive coverage.</t>
  </si>
  <si>
    <t>Repeated repair at 23–53; audibility/ZIP-code breakdown at 87–101 persists into request to call back and closing 102–106.</t>
  </si>
  <si>
    <t>Active-status requests 22, 24, 38, 60, 70 and 92 receive no substantive answer.</t>
  </si>
  <si>
    <t>System logout at 71 alone is not strain; later failed coordination supports score 2.</t>
  </si>
  <si>
    <t>Repeated identity/ID misunderstandings 31–44 and 55–76 persist through confused closing.</t>
  </si>
  <si>
    <t>Active status requested at 30. No answer before goodbye at 76.</t>
  </si>
  <si>
    <t>Failure to locate an ID is not an answer to coverage status.</t>
  </si>
  <si>
    <t>23–70: isolated audio clarification 33–34 succeeds; routine spelling and verification proceed.</t>
  </si>
  <si>
    <t>Active status answered 45. Medication requests 46 and 52–56 receive prior-authorization conditions at 51 and 59.</t>
  </si>
  <si>
    <t>Prior-authorization conditions are treated as direct conditional benefits answers.</t>
  </si>
  <si>
    <t>Repeated caller-name repair 51–60 is resolved, followed by substantive progress.</t>
  </si>
  <si>
    <t>Active coverage answered at 65; Abilify at 71; MeditoB at 77.</t>
  </si>
  <si>
    <t>Automated drug-name difficulties before 43 are excluded from strain. No separate price question is explicitly asked by the caller.</t>
  </si>
  <si>
    <t>Clarification of the requested drug check 70–76 restores understanding; later questions proceed.</t>
  </si>
  <si>
    <t>Active status 69; Mediab coverage 79 and restrictions 81; Mediyz coverage/authorization 87.</t>
  </si>
  <si>
    <t>Caller declines the authorization phone number at 82. No unanswered caller price question is added from menu prompts.</t>
  </si>
  <si>
    <t>Repeated greeting/verification repair 29–40 and 53–63 is followed by successful ID read-back 69–78.</t>
  </si>
  <si>
    <t>Active-status request at 6–10 remains unanswered. Account not found at 73 and 79 is a barrier.</t>
  </si>
  <si>
    <t>Benefits request is explicit before transfer. No new substantive benefits question needs to be invented.</t>
  </si>
  <si>
    <t>Selected main sample</t>
  </si>
  <si>
    <t>Purposive selection from uploaded R001–R020. Practice IDs R001, R011 and R020 excluded.</t>
  </si>
  <si>
    <t>Original row</t>
  </si>
  <si>
    <t>Words</t>
  </si>
  <si>
    <t>Turns</t>
  </si>
  <si>
    <t>Live-service starts at turn</t>
  </si>
  <si>
    <t>Total words</t>
  </si>
  <si>
    <t>All six practice IDs remain excluded: R001, R011, R020, R030, R045 and R050.</t>
  </si>
  <si>
    <t>Source: uploaded INSURE-Dial real-split transcripts. Source roles do not verify human identity.</t>
  </si>
  <si>
    <t>Practice coding form</t>
  </si>
  <si>
    <t>Six practice texts. Blank = missing. Zero is a substantive score.</t>
  </si>
  <si>
    <t>Coder 1 strain</t>
  </si>
  <si>
    <t>Coder 1 task fulfillment</t>
  </si>
  <si>
    <t>Coder 2 strain</t>
  </si>
  <si>
    <t>Coder 2 task fulfillment</t>
  </si>
  <si>
    <t>R001</t>
  </si>
  <si>
    <t>R011</t>
  </si>
  <si>
    <t>R020</t>
  </si>
  <si>
    <t>R030</t>
  </si>
  <si>
    <t>R045</t>
  </si>
  <si>
    <t>R050</t>
  </si>
  <si>
    <t>Missing rating notes</t>
  </si>
  <si>
    <t>R011, Coder 1 task: “The customer lost connection” (submitted explanation).</t>
  </si>
  <si>
    <t>R045, Coder 2 task: No discernible substantive benefits request.</t>
  </si>
  <si>
    <t>Coder 1 practice notes</t>
  </si>
  <si>
    <t>R001: “Do not provide a reference number? But R030 provides one.”</t>
  </si>
  <si>
    <t>Connection problems can disrupt the exchange; completion time also varies.</t>
  </si>
  <si>
    <t>Source: real-00000-of-00001.parquet. IDs follow original row order.</t>
  </si>
  <si>
    <t>Prior ratings were discussed. Treat these as practice agreement 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</si>
</sst>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Carlito"/>
    </font>
    <font>
      <b/>
      <sz val="16"/>
      <color theme="1"/>
      <name val="Arial"/>
      <family val="2"/>
    </font>
    <font>
      <sz val="11"/>
      <color theme="1"/>
      <name val="Arial"/>
      <family val="2"/>
    </font>
    <font>
      <sz val="11"/>
      <color theme="1"/>
      <name val="Carlito"/>
    </font>
    <font>
      <b/>
      <sz val="11"/>
      <color theme="1"/>
      <name val="Arial"/>
      <family val="2"/>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0" fontId="1" fillId="0" borderId="0" xfId="0" applyFont="1" applyAlignment="1">
      <alignment vertical="center"/>
    </xf>
    <xf numFmtId="0" fontId="2" fillId="0" borderId="0" xfId="0" applyFont="1" applyAlignment="1">
      <alignment vertical="center"/>
    </xf>
    <xf numFmtId="0" fontId="3" fillId="0" borderId="0" xfId="0" applyFont="1"/>
    <xf numFmtId="0" fontId="4" fillId="0" borderId="0" xfId="0" applyFont="1" applyAlignment="1">
      <alignment vertical="center" wrapText="1"/>
    </xf>
    <xf numFmtId="0" fontId="2" fillId="0" borderId="0" xfId="0" applyFont="1" applyAlignment="1">
      <alignment vertical="center" wrapText="1"/>
    </xf>
    <xf numFmtId="1" fontId="2" fillId="0" borderId="0" xfId="0" applyNumberFormat="1" applyFont="1" applyAlignment="1">
      <alignment horizontal="center" vertical="center" wrapText="1"/>
    </xf>
    <xf numFmtId="0" fontId="2" fillId="0" borderId="0" xfId="0" applyFont="1" applyAlignment="1">
      <alignment vertical="top" wrapText="1"/>
    </xf>
    <xf numFmtId="1" fontId="2" fillId="0" borderId="0" xfId="0" applyNumberFormat="1" applyFont="1" applyAlignment="1">
      <alignment vertical="top" wrapText="1"/>
    </xf>
    <xf numFmtId="0" fontId="2" fillId="0" borderId="0" xfId="0" applyFont="1"/>
    <xf numFmtId="0" fontId="4"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8"/>
  <sheetViews>
    <sheetView showGridLines="0" tabSelected="1" workbookViewId="0">
      <pane xSplit="3" ySplit="5" topLeftCell="D6" activePane="bottomRight" state="frozen"/>
      <selection pane="topRight"/>
      <selection pane="bottomLeft"/>
      <selection pane="bottomRight"/>
    </sheetView>
  </sheetViews>
  <sheetFormatPr baseColWidth="10" defaultColWidth="8.83203125" defaultRowHeight="14"/>
  <cols>
    <col min="1" max="1" width="14" style="3" customWidth="1"/>
    <col min="2" max="2" width="12" style="3" customWidth="1"/>
    <col min="3" max="3" width="18" style="3" customWidth="1"/>
    <col min="4" max="4" width="40.5" style="3" customWidth="1"/>
    <col min="5" max="5" width="37.5" style="3" customWidth="1"/>
    <col min="6" max="6" width="52" style="3" customWidth="1"/>
    <col min="7" max="7" width="8.83203125" style="3" customWidth="1"/>
    <col min="8" max="16384" width="8.83203125" style="3"/>
  </cols>
  <sheetData>
    <row r="1" spans="1:6" ht="20" customHeight="1">
      <c r="A1" s="1" t="s">
        <v>0</v>
      </c>
      <c r="B1" s="2"/>
      <c r="C1" s="2"/>
      <c r="D1" s="2"/>
      <c r="E1" s="2"/>
      <c r="F1" s="2"/>
    </row>
    <row r="2" spans="1:6" ht="32" customHeight="1">
      <c r="A2" s="2" t="s">
        <v>1</v>
      </c>
      <c r="B2" s="2"/>
      <c r="C2" s="2"/>
      <c r="D2" s="2"/>
      <c r="E2" s="2"/>
      <c r="F2" s="2"/>
    </row>
    <row r="3" spans="1:6">
      <c r="A3" s="2"/>
      <c r="B3" s="2"/>
      <c r="C3" s="2"/>
      <c r="D3" s="2"/>
      <c r="E3" s="2"/>
      <c r="F3" s="2"/>
    </row>
    <row r="4" spans="1:6">
      <c r="A4" s="2"/>
      <c r="B4" s="2"/>
      <c r="C4" s="2"/>
      <c r="D4" s="2"/>
      <c r="E4" s="2"/>
      <c r="F4" s="2"/>
    </row>
    <row r="5" spans="1:6" ht="40" customHeight="1">
      <c r="A5" s="4" t="s">
        <v>2</v>
      </c>
      <c r="B5" s="4" t="s">
        <v>3</v>
      </c>
      <c r="C5" s="4" t="s">
        <v>4</v>
      </c>
      <c r="D5" s="4" t="s">
        <v>5</v>
      </c>
      <c r="E5" s="4" t="s">
        <v>6</v>
      </c>
      <c r="F5" s="4" t="s">
        <v>7</v>
      </c>
    </row>
    <row r="6" spans="1:6" ht="155" customHeight="1">
      <c r="A6" s="7" t="s">
        <v>8</v>
      </c>
      <c r="B6" s="8">
        <v>0</v>
      </c>
      <c r="C6" s="8">
        <v>1</v>
      </c>
      <c r="D6" s="7" t="s">
        <v>9</v>
      </c>
      <c r="E6" s="7" t="s">
        <v>10</v>
      </c>
      <c r="F6" s="7" t="s">
        <v>11</v>
      </c>
    </row>
    <row r="7" spans="1:6" ht="155" customHeight="1">
      <c r="A7" s="7" t="s">
        <v>12</v>
      </c>
      <c r="B7" s="8">
        <v>1</v>
      </c>
      <c r="C7" s="8">
        <v>1</v>
      </c>
      <c r="D7" s="7" t="s">
        <v>13</v>
      </c>
      <c r="E7" s="7" t="s">
        <v>14</v>
      </c>
      <c r="F7" s="7" t="s">
        <v>15</v>
      </c>
    </row>
    <row r="8" spans="1:6" ht="155" customHeight="1">
      <c r="A8" s="7" t="s">
        <v>16</v>
      </c>
      <c r="B8" s="8">
        <v>0</v>
      </c>
      <c r="C8" s="8">
        <v>2</v>
      </c>
      <c r="D8" s="7" t="s">
        <v>17</v>
      </c>
      <c r="E8" s="7" t="s">
        <v>18</v>
      </c>
      <c r="F8" s="7" t="s">
        <v>19</v>
      </c>
    </row>
    <row r="9" spans="1:6" ht="155" customHeight="1">
      <c r="A9" s="7" t="s">
        <v>20</v>
      </c>
      <c r="B9" s="8">
        <v>0</v>
      </c>
      <c r="C9" s="8">
        <v>0</v>
      </c>
      <c r="D9" s="7" t="s">
        <v>21</v>
      </c>
      <c r="E9" s="7" t="s">
        <v>22</v>
      </c>
      <c r="F9" s="7" t="s">
        <v>23</v>
      </c>
    </row>
    <row r="10" spans="1:6" ht="155" customHeight="1">
      <c r="A10" s="7" t="s">
        <v>24</v>
      </c>
      <c r="B10" s="8">
        <v>2</v>
      </c>
      <c r="C10" s="8">
        <v>0</v>
      </c>
      <c r="D10" s="7" t="s">
        <v>25</v>
      </c>
      <c r="E10" s="7" t="s">
        <v>26</v>
      </c>
      <c r="F10" s="7" t="s">
        <v>27</v>
      </c>
    </row>
    <row r="11" spans="1:6" ht="155" customHeight="1">
      <c r="A11" s="7" t="s">
        <v>28</v>
      </c>
      <c r="B11" s="8">
        <v>2</v>
      </c>
      <c r="C11" s="8">
        <v>0</v>
      </c>
      <c r="D11" s="7" t="s">
        <v>29</v>
      </c>
      <c r="E11" s="7" t="s">
        <v>30</v>
      </c>
      <c r="F11" s="7" t="s">
        <v>31</v>
      </c>
    </row>
    <row r="12" spans="1:6" ht="155" customHeight="1">
      <c r="A12" s="7" t="s">
        <v>32</v>
      </c>
      <c r="B12" s="8">
        <v>0</v>
      </c>
      <c r="C12" s="8">
        <v>2</v>
      </c>
      <c r="D12" s="7" t="s">
        <v>33</v>
      </c>
      <c r="E12" s="7" t="s">
        <v>34</v>
      </c>
      <c r="F12" s="7" t="s">
        <v>35</v>
      </c>
    </row>
    <row r="13" spans="1:6" ht="155" customHeight="1">
      <c r="A13" s="7" t="s">
        <v>36</v>
      </c>
      <c r="B13" s="8">
        <v>1</v>
      </c>
      <c r="C13" s="8">
        <v>2</v>
      </c>
      <c r="D13" s="7" t="s">
        <v>37</v>
      </c>
      <c r="E13" s="7" t="s">
        <v>38</v>
      </c>
      <c r="F13" s="7" t="s">
        <v>39</v>
      </c>
    </row>
    <row r="14" spans="1:6" ht="155" customHeight="1">
      <c r="A14" s="7" t="s">
        <v>40</v>
      </c>
      <c r="B14" s="8">
        <v>1</v>
      </c>
      <c r="C14" s="8">
        <v>2</v>
      </c>
      <c r="D14" s="7" t="s">
        <v>41</v>
      </c>
      <c r="E14" s="7" t="s">
        <v>42</v>
      </c>
      <c r="F14" s="7" t="s">
        <v>43</v>
      </c>
    </row>
    <row r="15" spans="1:6" ht="155" customHeight="1">
      <c r="A15" s="7" t="s">
        <v>44</v>
      </c>
      <c r="B15" s="8">
        <v>1</v>
      </c>
      <c r="C15" s="8">
        <v>0</v>
      </c>
      <c r="D15" s="7" t="s">
        <v>45</v>
      </c>
      <c r="E15" s="7" t="s">
        <v>46</v>
      </c>
      <c r="F15" s="7" t="s">
        <v>47</v>
      </c>
    </row>
    <row r="18" spans="1:1">
      <c r="A18" s="3" t="s">
        <v>48</v>
      </c>
    </row>
  </sheetData>
  <autoFilter ref="A5:F15" xr:uid="{00000000-0009-0000-0000-00000000000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5"/>
  <sheetViews>
    <sheetView showGridLines="0" workbookViewId="0">
      <pane ySplit="5" topLeftCell="A6" activePane="bottomLeft" state="frozen"/>
      <selection pane="bottomLeft" activeCell="E4" sqref="E4"/>
    </sheetView>
  </sheetViews>
  <sheetFormatPr baseColWidth="10" defaultColWidth="8.83203125" defaultRowHeight="14"/>
  <cols>
    <col min="1" max="1" width="14" style="3" customWidth="1"/>
    <col min="2" max="2" width="12" style="3" customWidth="1"/>
    <col min="3" max="3" width="18" style="3" customWidth="1"/>
    <col min="4" max="4" width="40.5" style="3" customWidth="1"/>
    <col min="5" max="5" width="37.5" style="3" customWidth="1"/>
    <col min="6" max="6" width="52" style="3" customWidth="1"/>
    <col min="7" max="7" width="8.83203125" style="3" customWidth="1"/>
    <col min="8" max="16384" width="8.83203125" style="3"/>
  </cols>
  <sheetData>
    <row r="1" spans="1:6" ht="20" customHeight="1">
      <c r="A1" s="1" t="s">
        <v>49</v>
      </c>
      <c r="B1" s="2"/>
      <c r="C1" s="2"/>
      <c r="D1" s="2"/>
      <c r="E1" s="2"/>
      <c r="F1" s="2"/>
    </row>
    <row r="2" spans="1:6">
      <c r="A2" s="2"/>
      <c r="B2" s="2"/>
      <c r="C2" s="2"/>
      <c r="D2" s="2"/>
      <c r="E2" s="2"/>
      <c r="F2" s="2"/>
    </row>
    <row r="3" spans="1:6">
      <c r="A3" s="2"/>
      <c r="B3" s="2"/>
      <c r="C3" s="2"/>
      <c r="D3" s="2"/>
      <c r="E3" s="2"/>
      <c r="F3" s="2"/>
    </row>
    <row r="4" spans="1:6">
      <c r="A4" s="2"/>
      <c r="B4" s="2"/>
      <c r="C4" s="2"/>
      <c r="D4" s="2"/>
      <c r="E4" s="2"/>
      <c r="F4" s="2"/>
    </row>
    <row r="5" spans="1:6" ht="40" customHeight="1">
      <c r="A5" s="4" t="s">
        <v>2</v>
      </c>
      <c r="B5" s="4" t="s">
        <v>3</v>
      </c>
      <c r="C5" s="4" t="s">
        <v>4</v>
      </c>
      <c r="D5" s="4" t="s">
        <v>5</v>
      </c>
      <c r="E5" s="4" t="s">
        <v>6</v>
      </c>
      <c r="F5" s="4" t="s">
        <v>7</v>
      </c>
    </row>
    <row r="6" spans="1:6" ht="100" customHeight="1">
      <c r="A6" s="5" t="s">
        <v>8</v>
      </c>
      <c r="B6" s="6">
        <v>0</v>
      </c>
      <c r="C6" s="6">
        <v>1</v>
      </c>
      <c r="D6" s="5" t="s">
        <v>50</v>
      </c>
      <c r="E6" s="5" t="s">
        <v>51</v>
      </c>
      <c r="F6" s="5" t="s">
        <v>52</v>
      </c>
    </row>
    <row r="7" spans="1:6" ht="100" customHeight="1">
      <c r="A7" s="5" t="s">
        <v>12</v>
      </c>
      <c r="B7" s="6">
        <v>1</v>
      </c>
      <c r="C7" s="6">
        <v>1</v>
      </c>
      <c r="D7" s="5" t="s">
        <v>53</v>
      </c>
      <c r="E7" s="5" t="s">
        <v>54</v>
      </c>
      <c r="F7" s="5" t="s">
        <v>55</v>
      </c>
    </row>
    <row r="8" spans="1:6" ht="100" customHeight="1">
      <c r="A8" s="5" t="s">
        <v>16</v>
      </c>
      <c r="B8" s="6">
        <v>0</v>
      </c>
      <c r="C8" s="6">
        <v>2</v>
      </c>
      <c r="D8" s="5" t="s">
        <v>56</v>
      </c>
      <c r="E8" s="5" t="s">
        <v>57</v>
      </c>
      <c r="F8" s="5" t="s">
        <v>58</v>
      </c>
    </row>
    <row r="9" spans="1:6" ht="100" customHeight="1">
      <c r="A9" s="5" t="s">
        <v>20</v>
      </c>
      <c r="B9" s="6">
        <v>1</v>
      </c>
      <c r="C9" s="6">
        <v>0</v>
      </c>
      <c r="D9" s="5" t="s">
        <v>59</v>
      </c>
      <c r="E9" s="5" t="s">
        <v>60</v>
      </c>
      <c r="F9" s="5" t="s">
        <v>61</v>
      </c>
    </row>
    <row r="10" spans="1:6" ht="100" customHeight="1">
      <c r="A10" s="5" t="s">
        <v>24</v>
      </c>
      <c r="B10" s="6">
        <v>2</v>
      </c>
      <c r="C10" s="6">
        <v>0</v>
      </c>
      <c r="D10" s="5" t="s">
        <v>62</v>
      </c>
      <c r="E10" s="5" t="s">
        <v>63</v>
      </c>
      <c r="F10" s="5" t="s">
        <v>64</v>
      </c>
    </row>
    <row r="11" spans="1:6" ht="100" customHeight="1">
      <c r="A11" s="5" t="s">
        <v>28</v>
      </c>
      <c r="B11" s="6">
        <v>2</v>
      </c>
      <c r="C11" s="6">
        <v>0</v>
      </c>
      <c r="D11" s="5" t="s">
        <v>65</v>
      </c>
      <c r="E11" s="5" t="s">
        <v>66</v>
      </c>
      <c r="F11" s="5" t="s">
        <v>67</v>
      </c>
    </row>
    <row r="12" spans="1:6" ht="100" customHeight="1">
      <c r="A12" s="5" t="s">
        <v>32</v>
      </c>
      <c r="B12" s="6">
        <v>0</v>
      </c>
      <c r="C12" s="6">
        <v>2</v>
      </c>
      <c r="D12" s="5" t="s">
        <v>68</v>
      </c>
      <c r="E12" s="5" t="s">
        <v>69</v>
      </c>
      <c r="F12" s="5" t="s">
        <v>70</v>
      </c>
    </row>
    <row r="13" spans="1:6" ht="100" customHeight="1">
      <c r="A13" s="5" t="s">
        <v>36</v>
      </c>
      <c r="B13" s="6">
        <v>1</v>
      </c>
      <c r="C13" s="6">
        <v>2</v>
      </c>
      <c r="D13" s="5" t="s">
        <v>71</v>
      </c>
      <c r="E13" s="5" t="s">
        <v>72</v>
      </c>
      <c r="F13" s="5" t="s">
        <v>73</v>
      </c>
    </row>
    <row r="14" spans="1:6" ht="100" customHeight="1">
      <c r="A14" s="5" t="s">
        <v>40</v>
      </c>
      <c r="B14" s="6">
        <v>1</v>
      </c>
      <c r="C14" s="6">
        <v>2</v>
      </c>
      <c r="D14" s="5" t="s">
        <v>74</v>
      </c>
      <c r="E14" s="5" t="s">
        <v>75</v>
      </c>
      <c r="F14" s="5" t="s">
        <v>76</v>
      </c>
    </row>
    <row r="15" spans="1:6" ht="100" customHeight="1">
      <c r="A15" s="5" t="s">
        <v>44</v>
      </c>
      <c r="B15" s="6">
        <v>1</v>
      </c>
      <c r="C15" s="6">
        <v>0</v>
      </c>
      <c r="D15" s="5" t="s">
        <v>77</v>
      </c>
      <c r="E15" s="5" t="s">
        <v>78</v>
      </c>
      <c r="F15" s="5" t="s">
        <v>79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21"/>
  <sheetViews>
    <sheetView showGridLines="0" workbookViewId="0">
      <pane ySplit="5" topLeftCell="A8" activePane="bottomLeft" state="frozen"/>
      <selection pane="bottomLeft" activeCell="E12" sqref="E12"/>
    </sheetView>
  </sheetViews>
  <sheetFormatPr baseColWidth="10" defaultColWidth="8.83203125" defaultRowHeight="14"/>
  <cols>
    <col min="1" max="1" width="16" style="3" customWidth="1"/>
    <col min="2" max="2" width="18" style="3" customWidth="1"/>
    <col min="3" max="4" width="16" style="3" customWidth="1"/>
    <col min="5" max="5" width="28" style="3" customWidth="1"/>
    <col min="6" max="6" width="8.83203125" style="3" customWidth="1"/>
    <col min="7" max="16384" width="8.83203125" style="3"/>
  </cols>
  <sheetData>
    <row r="1" spans="1:5" ht="20" customHeight="1">
      <c r="A1" s="1" t="s">
        <v>80</v>
      </c>
      <c r="B1" s="2"/>
      <c r="C1" s="2"/>
      <c r="D1" s="2"/>
      <c r="E1" s="2"/>
    </row>
    <row r="2" spans="1:5">
      <c r="A2" s="2" t="s">
        <v>81</v>
      </c>
      <c r="B2" s="2"/>
      <c r="C2" s="2"/>
      <c r="D2" s="2"/>
      <c r="E2" s="2"/>
    </row>
    <row r="3" spans="1:5">
      <c r="A3" s="2"/>
      <c r="B3" s="2"/>
      <c r="C3" s="2"/>
      <c r="D3" s="2"/>
      <c r="E3" s="2"/>
    </row>
    <row r="4" spans="1:5">
      <c r="A4" s="2"/>
      <c r="B4" s="2"/>
      <c r="C4" s="2"/>
      <c r="D4" s="2"/>
      <c r="E4" s="2"/>
    </row>
    <row r="5" spans="1:5" ht="40" customHeight="1">
      <c r="A5" s="4" t="s">
        <v>2</v>
      </c>
      <c r="B5" s="4" t="s">
        <v>82</v>
      </c>
      <c r="C5" s="4" t="s">
        <v>83</v>
      </c>
      <c r="D5" s="4" t="s">
        <v>84</v>
      </c>
      <c r="E5" s="4" t="s">
        <v>85</v>
      </c>
    </row>
    <row r="6" spans="1:5" ht="48" customHeight="1">
      <c r="A6" s="5" t="s">
        <v>8</v>
      </c>
      <c r="B6" s="5">
        <v>2</v>
      </c>
      <c r="C6" s="5">
        <v>529</v>
      </c>
      <c r="D6" s="5">
        <v>69</v>
      </c>
      <c r="E6" s="5">
        <v>35</v>
      </c>
    </row>
    <row r="7" spans="1:5" ht="48" customHeight="1">
      <c r="A7" s="5" t="s">
        <v>12</v>
      </c>
      <c r="B7" s="5">
        <v>3</v>
      </c>
      <c r="C7" s="5">
        <v>1444</v>
      </c>
      <c r="D7" s="5">
        <v>87</v>
      </c>
      <c r="E7" s="5">
        <v>17</v>
      </c>
    </row>
    <row r="8" spans="1:5" ht="48" customHeight="1">
      <c r="A8" s="5" t="s">
        <v>16</v>
      </c>
      <c r="B8" s="5">
        <v>5</v>
      </c>
      <c r="C8" s="5">
        <v>707</v>
      </c>
      <c r="D8" s="5">
        <v>67</v>
      </c>
      <c r="E8" s="5">
        <v>43</v>
      </c>
    </row>
    <row r="9" spans="1:5" ht="48" customHeight="1">
      <c r="A9" s="5" t="s">
        <v>20</v>
      </c>
      <c r="B9" s="5">
        <v>7</v>
      </c>
      <c r="C9" s="5">
        <v>492</v>
      </c>
      <c r="D9" s="5">
        <v>42</v>
      </c>
      <c r="E9" s="5">
        <v>3</v>
      </c>
    </row>
    <row r="10" spans="1:5" ht="48" customHeight="1">
      <c r="A10" s="5" t="s">
        <v>24</v>
      </c>
      <c r="B10" s="5">
        <v>10</v>
      </c>
      <c r="C10" s="5">
        <v>1096</v>
      </c>
      <c r="D10" s="5">
        <v>107</v>
      </c>
      <c r="E10" s="5">
        <v>19</v>
      </c>
    </row>
    <row r="11" spans="1:5" ht="48" customHeight="1">
      <c r="A11" s="5" t="s">
        <v>28</v>
      </c>
      <c r="B11" s="5">
        <v>12</v>
      </c>
      <c r="C11" s="5">
        <v>927</v>
      </c>
      <c r="D11" s="5">
        <v>77</v>
      </c>
      <c r="E11" s="5">
        <v>27</v>
      </c>
    </row>
    <row r="12" spans="1:5" ht="48" customHeight="1">
      <c r="A12" s="5" t="s">
        <v>32</v>
      </c>
      <c r="B12" s="5">
        <v>13</v>
      </c>
      <c r="C12" s="5">
        <v>742</v>
      </c>
      <c r="D12" s="5">
        <v>71</v>
      </c>
      <c r="E12" s="5">
        <v>23</v>
      </c>
    </row>
    <row r="13" spans="1:5" ht="48" customHeight="1">
      <c r="A13" s="5" t="s">
        <v>36</v>
      </c>
      <c r="B13" s="5">
        <v>15</v>
      </c>
      <c r="C13" s="5">
        <v>898</v>
      </c>
      <c r="D13" s="5">
        <v>85</v>
      </c>
      <c r="E13" s="5">
        <v>43</v>
      </c>
    </row>
    <row r="14" spans="1:5" ht="48" customHeight="1">
      <c r="A14" s="5" t="s">
        <v>40</v>
      </c>
      <c r="B14" s="5">
        <v>16</v>
      </c>
      <c r="C14" s="5">
        <v>789</v>
      </c>
      <c r="D14" s="5">
        <v>93</v>
      </c>
      <c r="E14" s="5">
        <v>55</v>
      </c>
    </row>
    <row r="15" spans="1:5" ht="48" customHeight="1">
      <c r="A15" s="5" t="s">
        <v>44</v>
      </c>
      <c r="B15" s="5">
        <v>19</v>
      </c>
      <c r="C15" s="5">
        <v>768</v>
      </c>
      <c r="D15" s="5">
        <v>83</v>
      </c>
      <c r="E15" s="5">
        <v>27</v>
      </c>
    </row>
    <row r="18" spans="1:2">
      <c r="A18" s="3" t="s">
        <v>86</v>
      </c>
      <c r="B18" s="3">
        <f>SUM(C6:C15)</f>
        <v>8392</v>
      </c>
    </row>
    <row r="20" spans="1:2">
      <c r="A20" s="3" t="s">
        <v>87</v>
      </c>
    </row>
    <row r="21" spans="1:2">
      <c r="A21" s="3" t="s">
        <v>88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2"/>
  <sheetViews>
    <sheetView showGridLines="0" workbookViewId="0">
      <selection activeCell="A7" sqref="A7"/>
    </sheetView>
  </sheetViews>
  <sheetFormatPr baseColWidth="10" defaultColWidth="8.83203125" defaultRowHeight="14"/>
  <cols>
    <col min="1" max="5" width="24" style="3" customWidth="1"/>
    <col min="6" max="16384" width="8.83203125" style="3"/>
  </cols>
  <sheetData>
    <row r="1" spans="1:5">
      <c r="A1" s="9" t="s">
        <v>89</v>
      </c>
      <c r="B1" s="9"/>
      <c r="C1" s="9"/>
      <c r="D1" s="9"/>
      <c r="E1" s="9"/>
    </row>
    <row r="2" spans="1:5">
      <c r="A2" s="9"/>
      <c r="B2" s="9"/>
      <c r="C2" s="9"/>
      <c r="D2" s="9"/>
      <c r="E2" s="9"/>
    </row>
    <row r="3" spans="1:5">
      <c r="A3" s="9" t="s">
        <v>90</v>
      </c>
      <c r="B3" s="9"/>
      <c r="C3" s="9"/>
      <c r="D3" s="9"/>
      <c r="E3" s="9"/>
    </row>
    <row r="4" spans="1:5">
      <c r="A4" s="9"/>
      <c r="B4" s="9"/>
      <c r="C4" s="9"/>
      <c r="D4" s="9"/>
      <c r="E4" s="9"/>
    </row>
    <row r="5" spans="1:5" ht="40" customHeight="1">
      <c r="A5" s="10" t="s">
        <v>2</v>
      </c>
      <c r="B5" s="10" t="s">
        <v>91</v>
      </c>
      <c r="C5" s="10" t="s">
        <v>92</v>
      </c>
      <c r="D5" s="10" t="s">
        <v>93</v>
      </c>
      <c r="E5" s="10" t="s">
        <v>94</v>
      </c>
    </row>
    <row r="6" spans="1:5" ht="30" customHeight="1">
      <c r="A6" s="9" t="s">
        <v>95</v>
      </c>
      <c r="B6" s="9">
        <v>2</v>
      </c>
      <c r="C6" s="9">
        <v>1</v>
      </c>
      <c r="D6" s="9">
        <v>1</v>
      </c>
      <c r="E6" s="9">
        <v>2</v>
      </c>
    </row>
    <row r="7" spans="1:5" ht="30" customHeight="1">
      <c r="A7" s="9" t="s">
        <v>96</v>
      </c>
      <c r="B7" s="9">
        <v>1</v>
      </c>
      <c r="C7" s="9"/>
      <c r="D7" s="9">
        <v>2</v>
      </c>
      <c r="E7" s="9">
        <v>0</v>
      </c>
    </row>
    <row r="8" spans="1:5" ht="30" customHeight="1">
      <c r="A8" s="9" t="s">
        <v>97</v>
      </c>
      <c r="B8" s="9">
        <v>0</v>
      </c>
      <c r="C8" s="9">
        <v>2</v>
      </c>
      <c r="D8" s="9">
        <v>0</v>
      </c>
      <c r="E8" s="9">
        <v>2</v>
      </c>
    </row>
    <row r="9" spans="1:5" ht="30" customHeight="1">
      <c r="A9" s="9" t="s">
        <v>98</v>
      </c>
      <c r="B9" s="9">
        <v>1</v>
      </c>
      <c r="C9" s="9">
        <v>2</v>
      </c>
      <c r="D9" s="9">
        <v>0</v>
      </c>
      <c r="E9" s="9">
        <v>2</v>
      </c>
    </row>
    <row r="10" spans="1:5" ht="30" customHeight="1">
      <c r="A10" s="9" t="s">
        <v>99</v>
      </c>
      <c r="B10" s="9">
        <v>2</v>
      </c>
      <c r="C10" s="9">
        <v>0</v>
      </c>
      <c r="D10" s="9">
        <v>2</v>
      </c>
      <c r="E10" s="9"/>
    </row>
    <row r="11" spans="1:5" ht="30" customHeight="1">
      <c r="A11" s="9" t="s">
        <v>100</v>
      </c>
      <c r="B11" s="9">
        <v>1</v>
      </c>
      <c r="C11" s="9">
        <v>2</v>
      </c>
      <c r="D11" s="9">
        <v>1</v>
      </c>
      <c r="E11" s="9">
        <v>1</v>
      </c>
    </row>
    <row r="12" spans="1:5">
      <c r="A12" s="9"/>
      <c r="B12" s="9"/>
      <c r="C12" s="9"/>
      <c r="D12" s="9"/>
      <c r="E12" s="9"/>
    </row>
    <row r="13" spans="1:5">
      <c r="A13" s="9" t="s">
        <v>101</v>
      </c>
      <c r="B13" s="9"/>
      <c r="C13" s="9"/>
      <c r="D13" s="9"/>
      <c r="E13" s="9"/>
    </row>
    <row r="14" spans="1:5">
      <c r="A14" s="9" t="s">
        <v>102</v>
      </c>
      <c r="B14" s="9"/>
      <c r="C14" s="9"/>
      <c r="D14" s="9"/>
      <c r="E14" s="9"/>
    </row>
    <row r="15" spans="1:5">
      <c r="A15" s="9" t="s">
        <v>103</v>
      </c>
      <c r="B15" s="9"/>
      <c r="C15" s="9"/>
      <c r="D15" s="9"/>
      <c r="E15" s="9"/>
    </row>
    <row r="16" spans="1:5">
      <c r="A16" s="9"/>
      <c r="B16" s="9"/>
      <c r="C16" s="9"/>
      <c r="D16" s="9"/>
      <c r="E16" s="9"/>
    </row>
    <row r="17" spans="1:5">
      <c r="A17" s="9" t="s">
        <v>104</v>
      </c>
      <c r="B17" s="9"/>
      <c r="C17" s="9"/>
      <c r="D17" s="9"/>
      <c r="E17" s="9"/>
    </row>
    <row r="18" spans="1:5">
      <c r="A18" s="9" t="s">
        <v>105</v>
      </c>
      <c r="B18" s="9"/>
      <c r="C18" s="9"/>
      <c r="D18" s="9"/>
      <c r="E18" s="9"/>
    </row>
    <row r="19" spans="1:5">
      <c r="A19" s="9" t="s">
        <v>106</v>
      </c>
      <c r="B19" s="9"/>
      <c r="C19" s="9"/>
      <c r="D19" s="9"/>
      <c r="E19" s="9"/>
    </row>
    <row r="20" spans="1:5">
      <c r="A20" s="9"/>
      <c r="B20" s="9"/>
      <c r="C20" s="9"/>
      <c r="D20" s="9"/>
      <c r="E20" s="9"/>
    </row>
    <row r="21" spans="1:5">
      <c r="A21" s="9" t="s">
        <v>107</v>
      </c>
      <c r="B21" s="9"/>
      <c r="C21" s="9"/>
      <c r="D21" s="9"/>
      <c r="E21" s="9"/>
    </row>
    <row r="22" spans="1:5">
      <c r="A22" s="9" t="s">
        <v>108</v>
      </c>
      <c r="B22" s="9"/>
      <c r="C22" s="9"/>
      <c r="D22" s="9"/>
      <c r="E22" s="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Coder 1 main</vt:lpstr>
      <vt:lpstr>Coder 2 main</vt:lpstr>
      <vt:lpstr>Sample</vt:lpstr>
      <vt:lpstr>Practice ratings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wen ma</cp:lastModifiedBy>
  <dcterms:created xsi:type="dcterms:W3CDTF">2026-10-25T23:53:36Z</dcterms:created>
  <dcterms:modified xsi:type="dcterms:W3CDTF">2026-10-26T00:01:41Z</dcterms:modified>
</cp:coreProperties>
</file>